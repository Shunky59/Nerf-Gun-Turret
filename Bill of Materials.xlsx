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<sst xmlns="http://schemas.openxmlformats.org/spreadsheetml/2006/main" count="75" uniqueCount="58">
  <si>
    <t>Subsystem</t>
  </si>
  <si>
    <t>Name of part</t>
  </si>
  <si>
    <t>Amount Required</t>
  </si>
  <si>
    <t>Expected Unit price</t>
  </si>
  <si>
    <t>Expected Total Cost</t>
  </si>
  <si>
    <t>Total Cost</t>
  </si>
  <si>
    <t>Cost If Card Not Used (Components from EIH, ISALL, etc.)</t>
  </si>
  <si>
    <t>Date Ordered/Obtained</t>
  </si>
  <si>
    <t>Delivered/Obtained?</t>
  </si>
  <si>
    <t>Link</t>
  </si>
  <si>
    <t>Nerf Gun</t>
  </si>
  <si>
    <t>Nerf Hyper Mach-100 Fully Motorized Blaster</t>
  </si>
  <si>
    <t>Yes (EIH)</t>
  </si>
  <si>
    <t>https://www.amazon.com/Mach-100-Motorized-Blaster-Eyewear-Velocity/dp/B083QZLSZ5?th=1</t>
  </si>
  <si>
    <t>Electronics</t>
  </si>
  <si>
    <t>Arduno Mega 2560 Rev3</t>
  </si>
  <si>
    <t>https://www.amazon.com/ELEGOO-Compatible-Arduino-Projects-Compliant/dp/B01H4ZLZLQ/ref=sr_1_2?adgrpid=186827777695&amp;dib=eyJ2IjoiMSJ9.mz1D_mMr7EDgH2SXGDwsreb2nFo56d3eIY_xZGfXZWltbhiMaeQuvA_z04gNqSNWdR6miKI9AHffNcPRldm2ZpNjnGPiEjZNUmTf-eKHkVmJhsabXxR5JDQYgEOSmONLWZ9ZsM0yV08SOXcBt363apJdHYPamBYRz6oKcBwRBH8KeLuUnl9GV3Af_jje8yYi283f-dF4eQ0xVZrqKc4L-SsdlL1QBk_TC_6ShhErBpU.1n94sUA6gzhrudogADyp_OKCtS5czlgqkbF6nBknXdQ&amp;dib_tag=se&amp;hvadid=779569876476&amp;hvdev=c&amp;hvexpln=0&amp;hvlocphy=9016261&amp;hvnetw=g&amp;hvocijid=10773316167799013552--&amp;hvqmt=e&amp;hvrand=10773316167799013552&amp;hvtargid=kwd-298511934617&amp;hydadcr=24359_13859551_2334816&amp;keywords=arduino%2Bmega%2B2560%2Brev3&amp;mcid=55e56234c93336758dee108a28f458ac&amp;qid=1775763920&amp;sr=8-2&amp;th=1</t>
  </si>
  <si>
    <t>ESP32 Dev Kit</t>
  </si>
  <si>
    <t>Yes (Ordered)</t>
  </si>
  <si>
    <t>https://www.elecbee.com/en/product-detail/1-3-6-10pcs-esp32-wroom-32-esp32-s-development-board-wifi-bluetooth-compatible-type-c-esp32-30pin-esp32-nodemcu-development-module_73359?utm_term=&amp;utm_campaign=&amp;utm_source=adwords&amp;utm_medium=ppc&amp;hsa_acc=9958698819&amp;hsa_cam=23146566611&amp;hsa_grp=192676871449&amp;hsa_ad=787646925766&amp;hsa_src=g&amp;hsa_tgt=pla-2511885727117&amp;hsa_kw=&amp;hsa_mt=&amp;hsa_net=adwords&amp;hsa_ver=3&amp;gad_source=1&amp;gad_campaignid=23146566611&amp;gbraid=0AAAAADGHwHY35wToK6aYqc-OTDulOMU5r&amp;gclid=CjwKCAjwnN3OBhA8EiwAfpTYektXpAX2Rq6XG2Eu8Ux2EAlH_hkKSpKELx8us7DNIbCu1h9b4E8mvhoCFtMQAvD_BwE</t>
  </si>
  <si>
    <t>12V 20A Power Adapter</t>
  </si>
  <si>
    <t>https://alitove.com/products/alitove-12v-20a-power-adapter?srsltid=AfmBOoqz9LA7WG17mlTnVEq6TR2xPRszw2vGOrdN3HPUUcVVw02mKSRo</t>
  </si>
  <si>
    <t>Qualtek AC Power Cord</t>
  </si>
  <si>
    <t>https://www.amazon.com/LIFEPOE-Power-3-3ft-Black-3-Prong/dp/B0FK4KPW2G/ref=sxin_29_sbv_search_btf?content-id=amzn1.sym.c8b39f81-ded8-4d75-80c2-6dfa03cbb699%3Aamzn1.sym.c8b39f81-ded8-4d75-80c2-6dfa03cbb699&amp;cv_ct_cx=AC%2BCable&amp;keywords=AC%2BCable&amp;pd_rd_i=B0FK4KPW2G&amp;pd_rd_r=325607ec-02b1-46b9-b175-0e41e0a9f1a4&amp;pd_rd_w=fcJAI&amp;pd_rd_wg=dcgEu&amp;pf_rd_p=c8b39f81-ded8-4d75-80c2-6dfa03cbb699&amp;pf_rd_r=M2DEMPGWN1J6WJ4SW3CC&amp;qid=1775764115&amp;sbo=RZvfv%2F%2FHxDF%2BO5021pAnSA%3D%3D&amp;sr=1-1-5190daf0-67e3-427c-bea6-c72c1df98776&amp;th=1</t>
  </si>
  <si>
    <t>84RPM YellowJacket Motors</t>
  </si>
  <si>
    <t>https://www.gobilda.com/5203-series-yellow-jacket-planetary-gear-motor-71-2-1-ratio-24mm-length-8mm-rex-shaft-84-rpm-3-3-5v-encoder/</t>
  </si>
  <si>
    <t>Voltage Regulator</t>
  </si>
  <si>
    <t>https://www.gobilda.com/6a-bec-voltage-regulator-5-30v-input-3-3v-5v-6v-8-4v-12v-output-screw-terminals/</t>
  </si>
  <si>
    <t>L298N Motor Driver Board</t>
  </si>
  <si>
    <t>https://www.makerfabs.com/l298n-motor-driver-board.html?srsltid=AfmBOoqR4V98QO9VURjFb2zkg8oDn2F_MaDpd0uU9qeDtwFQ_0YV04Fl</t>
  </si>
  <si>
    <t>Cytron 10A 5-30V Dual Channel DC Motor Driver</t>
  </si>
  <si>
    <t>https://www.robotshop.com/products/cytron-10a-5-30v-dual-channel-dc-motor-driver?srsltid=AfmBOorIYtiUVIiuA86VioHjtXVmnI5dblJO6pLly-AqZICCc1nw3w2K</t>
  </si>
  <si>
    <t>Rotary Power Disconnect Switch</t>
  </si>
  <si>
    <t>https://www.egrdc.org/product-p-891041.html</t>
  </si>
  <si>
    <t>Xbox Controller</t>
  </si>
  <si>
    <t>https://www.ebay.com/itm/306697223911?chn=ps&amp;norover=1&amp;mkevt=1&amp;mkrid=711-117182-37290-0&amp;mkcid=2&amp;mkscid=101&amp;itemid=306697223911&amp;targetid=2450249296795&amp;device=c&amp;mktype=pla&amp;googleloc=9016261&amp;poi=&amp;campaignid=23513134754&amp;mkgroupid=193018067672&amp;rlsatarget=pla-2450249296795&amp;abcId=9407526&amp;merchantid=6296724&amp;gad_source=1&amp;gad_campaignid=23513134754&amp;gbraid=0AAAAAD_QDh8OsAEJqDSBQgCl5xBdGZgf-&amp;gclid=CjwKCAiA2PrMBhA4EiwAwpHyC19s_LfPfdyyv7x3wQ5U7jZzdfsMydK7_S2d7m6Ovw1u9958BSPqJBoCZrEQAvD_BwE</t>
  </si>
  <si>
    <t>Materials</t>
  </si>
  <si>
    <t>GoBilda 6mm Bearing Pack</t>
  </si>
  <si>
    <t>https://www.gobilda.com/1611-series-flanged-ball-bearing-6mm-id-x-14mm-od-5mm-thickness-2-pack/</t>
  </si>
  <si>
    <t>GoBilda U-rail</t>
  </si>
  <si>
    <t>https://www.gobilda.com/1120-series-u-channel-14-hole-360mm-length/</t>
  </si>
  <si>
    <t>GoBilda Pillowblock bearings</t>
  </si>
  <si>
    <t>https://www.gobilda.com/6mm-bore-1-side-2-post-pillow-block-24mm-height/</t>
  </si>
  <si>
    <t>GoBilda 6mm D shaft</t>
  </si>
  <si>
    <t>https://www.gobilda.com/2101-series-stainless-steel-d-shaft-6mm-diameter-300mm-length/</t>
  </si>
  <si>
    <t>GoBilda 6mm Hub</t>
  </si>
  <si>
    <t>https://www.gobilda.com/1309-series-sonic-hub-6mm-d-bore/</t>
  </si>
  <si>
    <t>GoBilda Pattern Plate</t>
  </si>
  <si>
    <t>https://www.gobilda.com/1123-series-pattern-plate-3-x-17-hole-96-x-432mm/</t>
  </si>
  <si>
    <t>GoBilda Shaft Collar</t>
  </si>
  <si>
    <t>https://www.gobilda.com/2920-series-steel-set-screw-collar-6mm-bore-2-pack/</t>
  </si>
  <si>
    <t>GoBilda Angle L Bracket</t>
  </si>
  <si>
    <t>https://www.gobilda.com/1113-series-l-channel-1-hole-48mm-length/</t>
  </si>
  <si>
    <t xml:space="preserve">Bolts n shii </t>
  </si>
  <si>
    <t>Free.99</t>
  </si>
  <si>
    <t>Total Ordered:</t>
  </si>
  <si>
    <t>Total Obtained:</t>
  </si>
  <si>
    <t>Total Project Cost: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</si>
</sst>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0"/>
    </xf>
    <xf borderId="0" fillId="2" fontId="2" numFmtId="0" xfId="0" applyAlignment="1" applyFont="1">
      <alignment shrinkToFit="0" wrapText="0"/>
    </xf>
    <xf borderId="0" fillId="2" fontId="2" numFmtId="164" xfId="0" applyAlignment="1" applyFont="1" applyNumberFormat="1">
      <alignment readingOrder="0" shrinkToFit="0" wrapText="0"/>
    </xf>
    <xf borderId="0" fillId="2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 shrinkToFit="0" wrapText="0"/>
    </xf>
    <xf borderId="0" fillId="2" fontId="2" numFmtId="0" xfId="0" applyFont="1"/>
    <xf borderId="0" fillId="0" fontId="2" numFmtId="0" xfId="0" applyFont="1"/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ebay.com/itm/306697223911?chn=ps&amp;norover=1&amp;mkevt=1&amp;mkrid=711-117182-37290-0&amp;mkcid=2&amp;mkscid=101&amp;itemid=306697223911&amp;targetid=2450249296795&amp;device=c&amp;mktype=pla&amp;googleloc=9016261&amp;poi=&amp;campaignid=23513134754&amp;mkgroupid=193018067672&amp;rlsatarget=pla-2450249296795&amp;abcId=9407526&amp;merchantid=6296724&amp;gad_source=1&amp;gad_campaignid=23513134754&amp;gbraid=0AAAAAD_QDh8OsAEJqDSBQgCl5xBdGZgf-&amp;gclid=CjwKCAiA2PrMBhA4EiwAwpHyC19s_LfPfdyyv7x3wQ5U7jZzdfsMydK7_S2d7m6Ovw1u9958BSPqJBoCZrEQAvD_BwE" TargetMode="External"/><Relationship Id="rId10" Type="http://schemas.openxmlformats.org/officeDocument/2006/relationships/hyperlink" Target="https://www.egrdc.org/product-p-891041.html" TargetMode="External"/><Relationship Id="rId13" Type="http://schemas.openxmlformats.org/officeDocument/2006/relationships/hyperlink" Target="https://www.gobilda.com/1120-series-u-channel-14-hole-360mm-length/" TargetMode="External"/><Relationship Id="rId12" Type="http://schemas.openxmlformats.org/officeDocument/2006/relationships/hyperlink" Target="https://www.gobilda.com/1611-series-flanged-ball-bearing-6mm-id-x-14mm-od-5mm-thickness-2-pack/" TargetMode="External"/><Relationship Id="rId1" Type="http://schemas.openxmlformats.org/officeDocument/2006/relationships/hyperlink" Target="https://www.amazon.com/Mach-100-Motorized-Blaster-Eyewear-Velocity/dp/B083QZLSZ5?th=1" TargetMode="External"/><Relationship Id="rId2" Type="http://schemas.openxmlformats.org/officeDocument/2006/relationships/hyperlink" Target="https://store-usa.arduino.cc/products/arduino-mega-2560-rev3?utm_source=google&amp;utm_medium=cpc&amp;utm_campaign=US-Pmax-WinterSales26&amp;gad_source=1&amp;gad_campaignid=23474557341&amp;gbraid=0AAAAACbEa8598mjUy_PsTo3mClv7rarGF&amp;gclid=Cj0KCQiAnJHMBhDAARIsABr7b84lBwiSBeclPGkxgHWn6W7GzXXbmzWNoheHXn6LiK8TvBhYDlJBAoEaAo9lEALw_wcB" TargetMode="External"/><Relationship Id="rId3" Type="http://schemas.openxmlformats.org/officeDocument/2006/relationships/hyperlink" Target="https://www.elecbee.com/en/product-detail/1-3-6-10pcs-esp32-wroom-32-esp32-s-development-board-wifi-bluetooth-compatible-type-c-esp32-30pin-esp32-nodemcu-development-module_73359?utm_term=&amp;utm_campaign=&amp;utm_source=adwords&amp;utm_medium=ppc&amp;hsa_acc=9958698819&amp;hsa_cam=23146566611&amp;hsa_grp=192676871449&amp;hsa_ad=787646925766&amp;hsa_src=g&amp;hsa_tgt=pla-2511885727117&amp;hsa_kw=&amp;hsa_mt=&amp;hsa_net=adwords&amp;hsa_ver=3&amp;gad_source=1&amp;gad_campaignid=23146566611&amp;gbraid=0AAAAADGHwHY35wToK6aYqc-OTDulOMU5r&amp;gclid=CjwKCAjwnN3OBhA8EiwAfpTYektXpAX2Rq6XG2Eu8Ux2EAlH_hkKSpKELx8us7DNIbCu1h9b4E8mvhoCFtMQAvD_BwE" TargetMode="External"/><Relationship Id="rId4" Type="http://schemas.openxmlformats.org/officeDocument/2006/relationships/hyperlink" Target="https://alitove.com/products/alitove-12v-20a-power-adapter?srsltid=AfmBOoqz9LA7WG17mlTnVEq6TR2xPRszw2vGOrdN3HPUUcVVw02mKSRo" TargetMode="External"/><Relationship Id="rId9" Type="http://schemas.openxmlformats.org/officeDocument/2006/relationships/hyperlink" Target="https://www.robotshop.com/products/cytron-10a-5-30v-dual-channel-dc-motor-driver?srsltid=AfmBOorIYtiUVIiuA86VioHjtXVmnI5dblJO6pLly-AqZICCc1nw3w2K" TargetMode="External"/><Relationship Id="rId15" Type="http://schemas.openxmlformats.org/officeDocument/2006/relationships/hyperlink" Target="https://www.gobilda.com/2101-series-stainless-steel-d-shaft-6mm-diameter-300mm-length/" TargetMode="External"/><Relationship Id="rId14" Type="http://schemas.openxmlformats.org/officeDocument/2006/relationships/hyperlink" Target="https://www.gobilda.com/6mm-bore-1-side-2-post-pillow-block-24mm-height/" TargetMode="External"/><Relationship Id="rId17" Type="http://schemas.openxmlformats.org/officeDocument/2006/relationships/hyperlink" Target="https://www.gobilda.com/1123-series-pattern-plate-3-x-17-hole-96-x-432mm/" TargetMode="External"/><Relationship Id="rId16" Type="http://schemas.openxmlformats.org/officeDocument/2006/relationships/hyperlink" Target="https://www.gobilda.com/1309-series-sonic-hub-6mm-d-bore/" TargetMode="External"/><Relationship Id="rId5" Type="http://schemas.openxmlformats.org/officeDocument/2006/relationships/hyperlink" Target="https://www.digikey.com/en/products/detail/qualtek/311024-01/183397?gclsrc=aw.ds&amp;gad_source=1&amp;gad_campaignid=20232005509&amp;gbraid=0AAAAADrbLliTXFbJElIBrdn-4BsbH1pKR&amp;gclid=Cj0KCQiAnJHMBhDAARIsABr7b849uAa3tT3_F5ZP-l75aEIjNKWKf4qpuBldGy8NkDmHN3Cn0r5HZkMaAngTEALw_wcB" TargetMode="External"/><Relationship Id="rId19" Type="http://schemas.openxmlformats.org/officeDocument/2006/relationships/hyperlink" Target="https://www.gobilda.com/1113-series-l-channel-1-hole-48mm-length/" TargetMode="External"/><Relationship Id="rId6" Type="http://schemas.openxmlformats.org/officeDocument/2006/relationships/hyperlink" Target="https://www.gobilda.com/5203-series-yellow-jacket-planetary-gear-motor-71-2-1-ratio-24mm-length-8mm-rex-shaft-84-rpm-3-3-5v-encoder/" TargetMode="External"/><Relationship Id="rId18" Type="http://schemas.openxmlformats.org/officeDocument/2006/relationships/hyperlink" Target="https://www.gobilda.com/2920-series-steel-set-screw-collar-6mm-bore-2-pack/" TargetMode="External"/><Relationship Id="rId7" Type="http://schemas.openxmlformats.org/officeDocument/2006/relationships/hyperlink" Target="https://www.gobilda.com/6a-bec-voltage-regulator-5-30v-input-3-3v-5v-6v-8-4v-12v-output-screw-terminals/" TargetMode="External"/><Relationship Id="rId8" Type="http://schemas.openxmlformats.org/officeDocument/2006/relationships/hyperlink" Target="https://www.makerfabs.com/l298n-motor-driver-board.html?srsltid=AfmBOoqR4V98QO9VURjFb2zkg8oDn2F_MaDpd0uU9qeDtwFQ_0YV04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38"/>
    <col customWidth="1" min="3" max="3" width="9.5"/>
    <col customWidth="1" min="4" max="4" width="17.75"/>
    <col customWidth="1" min="5" max="5" width="16.88"/>
    <col hidden="1" min="6" max="6" width="12.63"/>
    <col customWidth="1" hidden="1" min="7" max="7" width="17.38"/>
    <col customWidth="1" min="8" max="8" width="16.38"/>
    <col customWidth="1" min="9" max="9" width="18.75"/>
    <col customWidth="1" min="10" max="10" width="2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</row>
    <row r="2">
      <c r="A2" s="3" t="s">
        <v>10</v>
      </c>
      <c r="B2" s="3" t="s">
        <v>11</v>
      </c>
      <c r="C2" s="4">
        <v>1.0</v>
      </c>
      <c r="D2" s="4">
        <v>29.84</v>
      </c>
      <c r="E2" s="5">
        <f>C2*D2</f>
        <v>29.84</v>
      </c>
      <c r="F2" s="4">
        <v>0.0</v>
      </c>
      <c r="G2" s="4">
        <v>29.84</v>
      </c>
      <c r="H2" s="6">
        <v>46057.0</v>
      </c>
      <c r="I2" s="4" t="s">
        <v>12</v>
      </c>
      <c r="J2" s="7" t="s">
        <v>13</v>
      </c>
    </row>
    <row r="3">
      <c r="A3" s="8"/>
      <c r="B3" s="8"/>
      <c r="C3" s="9"/>
      <c r="D3" s="9"/>
      <c r="E3" s="10"/>
      <c r="F3" s="9"/>
      <c r="G3" s="9"/>
      <c r="H3" s="11"/>
      <c r="I3" s="9"/>
      <c r="J3" s="12"/>
    </row>
    <row r="4">
      <c r="A4" s="3" t="s">
        <v>14</v>
      </c>
      <c r="B4" s="3" t="s">
        <v>15</v>
      </c>
      <c r="C4" s="4">
        <v>1.0</v>
      </c>
      <c r="D4" s="4">
        <v>22.99</v>
      </c>
      <c r="E4" s="5">
        <f t="shared" ref="E4:E12" si="1">C4*D4</f>
        <v>22.99</v>
      </c>
      <c r="F4" s="4">
        <v>0.0</v>
      </c>
      <c r="G4" s="4">
        <v>39.29</v>
      </c>
      <c r="H4" s="6">
        <v>46057.0</v>
      </c>
      <c r="I4" s="4" t="s">
        <v>12</v>
      </c>
      <c r="J4" s="7" t="s">
        <v>16</v>
      </c>
    </row>
    <row r="5">
      <c r="A5" s="3"/>
      <c r="B5" s="3" t="s">
        <v>17</v>
      </c>
      <c r="C5" s="13">
        <v>1.0</v>
      </c>
      <c r="D5" s="13">
        <v>3.88</v>
      </c>
      <c r="E5" s="5">
        <f t="shared" si="1"/>
        <v>3.88</v>
      </c>
      <c r="F5" s="13">
        <v>5.67</v>
      </c>
      <c r="G5" s="13">
        <v>0.0</v>
      </c>
      <c r="H5" s="14">
        <v>46057.0</v>
      </c>
      <c r="I5" s="13" t="s">
        <v>18</v>
      </c>
      <c r="J5" s="7" t="s">
        <v>19</v>
      </c>
    </row>
    <row r="6">
      <c r="A6" s="3"/>
      <c r="B6" s="3" t="s">
        <v>20</v>
      </c>
      <c r="C6" s="13">
        <v>1.0</v>
      </c>
      <c r="D6" s="13">
        <v>22.99</v>
      </c>
      <c r="E6" s="5">
        <f t="shared" si="1"/>
        <v>22.99</v>
      </c>
      <c r="F6" s="13">
        <v>0.0</v>
      </c>
      <c r="G6" s="13">
        <v>22.99</v>
      </c>
      <c r="H6" s="14">
        <v>46057.0</v>
      </c>
      <c r="I6" s="13" t="s">
        <v>12</v>
      </c>
      <c r="J6" s="7" t="s">
        <v>21</v>
      </c>
    </row>
    <row r="7">
      <c r="A7" s="3"/>
      <c r="B7" s="3" t="s">
        <v>22</v>
      </c>
      <c r="C7" s="13">
        <v>1.0</v>
      </c>
      <c r="D7" s="13">
        <v>4.49</v>
      </c>
      <c r="E7" s="5">
        <f t="shared" si="1"/>
        <v>4.49</v>
      </c>
      <c r="F7" s="13">
        <v>0.0</v>
      </c>
      <c r="G7" s="13">
        <v>9.44</v>
      </c>
      <c r="H7" s="14">
        <v>45692.0</v>
      </c>
      <c r="I7" s="13" t="s">
        <v>12</v>
      </c>
      <c r="J7" s="7" t="s">
        <v>23</v>
      </c>
    </row>
    <row r="8">
      <c r="A8" s="3"/>
      <c r="B8" s="3" t="s">
        <v>24</v>
      </c>
      <c r="C8" s="13">
        <v>2.0</v>
      </c>
      <c r="D8" s="13">
        <v>46.74</v>
      </c>
      <c r="E8" s="5">
        <f t="shared" si="1"/>
        <v>93.48</v>
      </c>
      <c r="F8" s="13">
        <v>0.0</v>
      </c>
      <c r="G8" s="13">
        <v>93.48</v>
      </c>
      <c r="H8" s="14">
        <v>46057.0</v>
      </c>
      <c r="I8" s="13" t="s">
        <v>12</v>
      </c>
      <c r="J8" s="15" t="s">
        <v>25</v>
      </c>
    </row>
    <row r="9">
      <c r="A9" s="3"/>
      <c r="B9" s="3" t="s">
        <v>26</v>
      </c>
      <c r="C9" s="13">
        <v>2.0</v>
      </c>
      <c r="D9" s="13">
        <v>23.79</v>
      </c>
      <c r="E9" s="5">
        <f t="shared" si="1"/>
        <v>47.58</v>
      </c>
      <c r="F9" s="13">
        <v>0.0</v>
      </c>
      <c r="G9" s="13">
        <v>23.79</v>
      </c>
      <c r="H9" s="14">
        <v>46057.0</v>
      </c>
      <c r="I9" s="13" t="s">
        <v>12</v>
      </c>
      <c r="J9" s="7" t="s">
        <v>27</v>
      </c>
    </row>
    <row r="10">
      <c r="A10" s="3"/>
      <c r="B10" s="3" t="s">
        <v>28</v>
      </c>
      <c r="C10" s="13">
        <v>1.0</v>
      </c>
      <c r="D10" s="13">
        <v>2.3</v>
      </c>
      <c r="E10" s="5">
        <f t="shared" si="1"/>
        <v>2.3</v>
      </c>
      <c r="F10" s="13">
        <v>0.0</v>
      </c>
      <c r="G10" s="13">
        <v>2.3</v>
      </c>
      <c r="H10" s="14">
        <v>46057.0</v>
      </c>
      <c r="I10" s="13" t="s">
        <v>12</v>
      </c>
      <c r="J10" s="7" t="s">
        <v>29</v>
      </c>
    </row>
    <row r="11">
      <c r="A11" s="3"/>
      <c r="B11" s="3" t="s">
        <v>30</v>
      </c>
      <c r="C11" s="13">
        <v>1.0</v>
      </c>
      <c r="D11" s="13">
        <v>26.56</v>
      </c>
      <c r="E11" s="5">
        <f t="shared" si="1"/>
        <v>26.56</v>
      </c>
      <c r="F11" s="13">
        <v>0.0</v>
      </c>
      <c r="G11" s="13">
        <v>26.56</v>
      </c>
      <c r="H11" s="14">
        <v>46057.0</v>
      </c>
      <c r="I11" s="13" t="s">
        <v>12</v>
      </c>
      <c r="J11" s="15" t="s">
        <v>31</v>
      </c>
    </row>
    <row r="12">
      <c r="A12" s="13"/>
      <c r="B12" s="13" t="s">
        <v>32</v>
      </c>
      <c r="C12" s="13">
        <v>1.0</v>
      </c>
      <c r="D12" s="13">
        <v>8.99</v>
      </c>
      <c r="E12" s="5">
        <f t="shared" si="1"/>
        <v>8.99</v>
      </c>
      <c r="F12" s="13">
        <v>0.0</v>
      </c>
      <c r="G12" s="13">
        <v>8.99</v>
      </c>
      <c r="H12" s="14">
        <v>46057.0</v>
      </c>
      <c r="I12" s="13" t="s">
        <v>12</v>
      </c>
      <c r="J12" s="7" t="s">
        <v>33</v>
      </c>
    </row>
    <row r="13">
      <c r="A13" s="13"/>
      <c r="B13" s="13" t="s">
        <v>34</v>
      </c>
      <c r="C13" s="13">
        <v>1.0</v>
      </c>
      <c r="D13" s="13">
        <v>40.0</v>
      </c>
      <c r="E13" s="4">
        <v>40.0</v>
      </c>
      <c r="F13" s="13">
        <v>25.0</v>
      </c>
      <c r="G13" s="13">
        <v>0.0</v>
      </c>
      <c r="H13" s="14">
        <v>46099.0</v>
      </c>
      <c r="I13" s="13" t="s">
        <v>18</v>
      </c>
      <c r="J13" s="7" t="s">
        <v>35</v>
      </c>
    </row>
    <row r="14">
      <c r="A14" s="16"/>
      <c r="B14" s="16"/>
      <c r="C14" s="16"/>
      <c r="D14" s="16"/>
      <c r="E14" s="10"/>
      <c r="F14" s="16"/>
      <c r="G14" s="16"/>
      <c r="H14" s="16"/>
      <c r="I14" s="16"/>
      <c r="J14" s="10"/>
    </row>
    <row r="15">
      <c r="A15" s="13" t="s">
        <v>36</v>
      </c>
      <c r="B15" s="13" t="s">
        <v>37</v>
      </c>
      <c r="C15" s="13">
        <v>1.0</v>
      </c>
      <c r="D15" s="13">
        <v>3.39</v>
      </c>
      <c r="E15" s="5">
        <f t="shared" ref="E15:E22" si="2">C15*D15</f>
        <v>3.39</v>
      </c>
      <c r="F15" s="17">
        <f t="shared" ref="F15:F23" si="3">E15</f>
        <v>3.39</v>
      </c>
      <c r="G15" s="13">
        <v>0.0</v>
      </c>
      <c r="H15" s="6">
        <v>46057.0</v>
      </c>
      <c r="I15" s="13" t="s">
        <v>12</v>
      </c>
      <c r="J15" s="15" t="s">
        <v>38</v>
      </c>
    </row>
    <row r="16">
      <c r="A16" s="13"/>
      <c r="B16" s="13" t="s">
        <v>39</v>
      </c>
      <c r="C16" s="13">
        <v>2.0</v>
      </c>
      <c r="D16" s="13">
        <v>15.29</v>
      </c>
      <c r="E16" s="5">
        <f t="shared" si="2"/>
        <v>30.58</v>
      </c>
      <c r="F16" s="17">
        <f t="shared" si="3"/>
        <v>30.58</v>
      </c>
      <c r="G16" s="13">
        <v>0.0</v>
      </c>
      <c r="H16" s="6">
        <v>46057.0</v>
      </c>
      <c r="I16" s="13" t="s">
        <v>12</v>
      </c>
      <c r="J16" s="15" t="s">
        <v>40</v>
      </c>
    </row>
    <row r="17">
      <c r="A17" s="13"/>
      <c r="B17" s="13" t="s">
        <v>41</v>
      </c>
      <c r="C17" s="13">
        <v>2.0</v>
      </c>
      <c r="D17" s="13">
        <v>6.79</v>
      </c>
      <c r="E17" s="5">
        <f t="shared" si="2"/>
        <v>13.58</v>
      </c>
      <c r="F17" s="17">
        <f t="shared" si="3"/>
        <v>13.58</v>
      </c>
      <c r="G17" s="13">
        <v>0.0</v>
      </c>
      <c r="H17" s="14">
        <v>46092.0</v>
      </c>
      <c r="I17" s="13" t="s">
        <v>18</v>
      </c>
      <c r="J17" s="15" t="s">
        <v>42</v>
      </c>
    </row>
    <row r="18">
      <c r="A18" s="13"/>
      <c r="B18" s="13" t="s">
        <v>43</v>
      </c>
      <c r="C18" s="13">
        <v>1.0</v>
      </c>
      <c r="D18" s="13">
        <v>7.22</v>
      </c>
      <c r="E18" s="5">
        <f t="shared" si="2"/>
        <v>7.22</v>
      </c>
      <c r="F18" s="17">
        <f t="shared" si="3"/>
        <v>7.22</v>
      </c>
      <c r="G18" s="13">
        <v>0.0</v>
      </c>
      <c r="H18" s="14">
        <v>46092.0</v>
      </c>
      <c r="I18" s="13" t="s">
        <v>18</v>
      </c>
      <c r="J18" s="15" t="s">
        <v>44</v>
      </c>
    </row>
    <row r="19">
      <c r="A19" s="13"/>
      <c r="B19" s="13" t="s">
        <v>45</v>
      </c>
      <c r="C19" s="13">
        <v>2.0</v>
      </c>
      <c r="D19" s="13">
        <v>6.79</v>
      </c>
      <c r="E19" s="5">
        <f t="shared" si="2"/>
        <v>13.58</v>
      </c>
      <c r="F19" s="17">
        <f t="shared" si="3"/>
        <v>13.58</v>
      </c>
      <c r="G19" s="13">
        <v>0.0</v>
      </c>
      <c r="H19" s="6">
        <v>46057.0</v>
      </c>
      <c r="I19" s="13" t="s">
        <v>12</v>
      </c>
      <c r="J19" s="15" t="s">
        <v>46</v>
      </c>
    </row>
    <row r="20">
      <c r="A20" s="13"/>
      <c r="B20" s="13" t="s">
        <v>47</v>
      </c>
      <c r="C20" s="13">
        <v>1.0</v>
      </c>
      <c r="D20" s="13">
        <v>22.94</v>
      </c>
      <c r="E20" s="5">
        <f t="shared" si="2"/>
        <v>22.94</v>
      </c>
      <c r="F20" s="17">
        <f t="shared" si="3"/>
        <v>22.94</v>
      </c>
      <c r="G20" s="13">
        <v>0.0</v>
      </c>
      <c r="H20" s="6">
        <v>46057.0</v>
      </c>
      <c r="I20" s="13" t="s">
        <v>12</v>
      </c>
      <c r="J20" s="15" t="s">
        <v>48</v>
      </c>
    </row>
    <row r="21">
      <c r="A21" s="13"/>
      <c r="B21" s="13" t="s">
        <v>49</v>
      </c>
      <c r="C21" s="13">
        <v>2.0</v>
      </c>
      <c r="D21" s="13">
        <v>4.24</v>
      </c>
      <c r="E21" s="5">
        <f t="shared" si="2"/>
        <v>8.48</v>
      </c>
      <c r="F21" s="17">
        <f t="shared" si="3"/>
        <v>8.48</v>
      </c>
      <c r="G21" s="13">
        <v>0.0</v>
      </c>
      <c r="H21" s="6">
        <v>46057.0</v>
      </c>
      <c r="I21" s="13" t="s">
        <v>12</v>
      </c>
      <c r="J21" s="15" t="s">
        <v>50</v>
      </c>
    </row>
    <row r="22">
      <c r="A22" s="13"/>
      <c r="B22" s="13" t="s">
        <v>51</v>
      </c>
      <c r="C22" s="13">
        <v>4.0</v>
      </c>
      <c r="D22" s="13">
        <v>3.39</v>
      </c>
      <c r="E22" s="5">
        <f t="shared" si="2"/>
        <v>13.56</v>
      </c>
      <c r="F22" s="17">
        <f t="shared" si="3"/>
        <v>13.56</v>
      </c>
      <c r="H22" s="6">
        <v>46057.0</v>
      </c>
      <c r="I22" s="13" t="s">
        <v>12</v>
      </c>
      <c r="J22" s="15" t="s">
        <v>52</v>
      </c>
    </row>
    <row r="23">
      <c r="A23" s="13"/>
      <c r="B23" s="13" t="s">
        <v>53</v>
      </c>
      <c r="E23" s="4" t="s">
        <v>54</v>
      </c>
      <c r="F23" s="17" t="str">
        <f t="shared" si="3"/>
        <v>Free.99</v>
      </c>
      <c r="J23" s="5"/>
    </row>
    <row r="24">
      <c r="A24" s="16"/>
      <c r="B24" s="16"/>
      <c r="C24" s="16"/>
      <c r="D24" s="16"/>
      <c r="E24" s="10"/>
      <c r="F24" s="16"/>
      <c r="G24" s="16"/>
      <c r="H24" s="16"/>
      <c r="I24" s="16"/>
      <c r="J24" s="16"/>
    </row>
    <row r="25">
      <c r="E25" s="5"/>
      <c r="F25" s="18"/>
      <c r="G25" s="18"/>
      <c r="H25" s="18"/>
    </row>
    <row r="26">
      <c r="E26" s="5"/>
      <c r="F26" s="19" t="s">
        <v>55</v>
      </c>
      <c r="G26" s="19" t="s">
        <v>56</v>
      </c>
      <c r="H26" s="20" t="s">
        <v>57</v>
      </c>
    </row>
    <row r="27">
      <c r="E27" s="5"/>
      <c r="F27" s="21">
        <f t="shared" ref="F27:G27" si="4">SUM(F2:F23)</f>
        <v>144</v>
      </c>
      <c r="G27" s="21">
        <f t="shared" si="4"/>
        <v>256.68</v>
      </c>
      <c r="H27" s="21">
        <f>sum(E2+sum(E4:E13)+sum(E15:E22))</f>
        <v>416.43</v>
      </c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</sheetData>
  <dataValidations>
    <dataValidation type="list" allowBlank="1" showErrorMessage="1" sqref="I2 I4:I13 I15:I22">
      <formula1>"Yes (EIH),Yes (Ordered),Yes (David's),Ordered,Not Yet Ordered,In EIH But Not Obtained"</formula1>
    </dataValidation>
  </dataValidations>
  <hyperlinks>
    <hyperlink r:id="rId1" ref="J2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</hyperlinks>
  <drawing r:id="rId20"/>
</worksheet>
</file>