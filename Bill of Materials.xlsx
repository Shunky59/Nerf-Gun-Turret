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<sst xmlns="http://schemas.openxmlformats.org/spreadsheetml/2006/main" count="94" uniqueCount="66">
  <si>
    <t>Subsystem</t>
  </si>
  <si>
    <t>Name of part</t>
  </si>
  <si>
    <t>Amount Required</t>
  </si>
  <si>
    <t>Expected Unit price</t>
  </si>
  <si>
    <t>Expected Total Cost</t>
  </si>
  <si>
    <t>Total Cost</t>
  </si>
  <si>
    <t>Cost If Card Not Used (Components from EIH, ISALL, etc.)</t>
  </si>
  <si>
    <t>Date Ordered/Obtained</t>
  </si>
  <si>
    <t>Delivered/Obtained?</t>
  </si>
  <si>
    <t>Link</t>
  </si>
  <si>
    <t>Receipt Link</t>
  </si>
  <si>
    <t>Nerf Gun</t>
  </si>
  <si>
    <t>Nerf Hyper Mach-100 Fully Motorized Blaster</t>
  </si>
  <si>
    <t>Yes (EIH)</t>
  </si>
  <si>
    <t>https://www.amazon.com/Mach-100-Motorized-Blaster-Eyewear-Velocity/dp/B083QZLSZ5?th=1</t>
  </si>
  <si>
    <t>N/A</t>
  </si>
  <si>
    <t>Electronics</t>
  </si>
  <si>
    <t>Arduno Mega 2560 Rev3</t>
  </si>
  <si>
    <t>https://store-usa.arduino.cc/products/arduino-mega-2560-rev3?utm_source=google&amp;utm_medium=cpc&amp;utm_campaign=US-Pmax-WinterSales26&amp;gad_source=1&amp;gad_campaignid=23474557341&amp;gbraid=0AAAAACbEa8598mjUy_PsTo3mClv7rarGF&amp;gclid=Cj0KCQiAnJHMBhDAARIsABr7b84lBwiSBeclPGkxgHWn6W7GzXXbmzWNoheHXn6LiK8TvBhYDlJBAoEaAo9lEALw_wcB</t>
  </si>
  <si>
    <t>ESP32 Dev Kit</t>
  </si>
  <si>
    <t>Yes (David's)</t>
  </si>
  <si>
    <t>https://www.amazon.com/ELEGOO-ESP-WROOM-32-Development-Bluetooth-Microcontroller/dp/B0D8T53CQ5/ref=sr_1_3?crid=2FY9ITMBDWDUV&amp;dib=eyJ2IjoiMSJ9.0mMutUw27FQh3oBplnQp1dJfzQ1YbxXJeNEXV2aWVBrTpz2z40EcBfQzpeAWyiPKJ6YpM2Kv6e90ICWWmaTZz96Cc1V2uiW_PA7NOB7apwOi37ca803ry7m1t9-DkLZQdD4e4e5atASlnZhuiQ4FGn0Q0i2RoxXFUyuCz8bmh8MUUUIX3kY6PCUeacEQOF7gBA25Y1KLeL9Jv6Fk3eeSe7k-DzQaIzcJ_WUdFQZKyeXyZbpKVVijbdyxu6ZlxiUYJKk-q9mi11KtrpJR9-OHMG-avwFmyTElipQ0CUr-rMc.OUljGQDPnTRjFvAnPvvdrF02nvo8cgcUbibXhPFHmPM&amp;dib_tag=se&amp;keywords=esp32&amp;qid=1770321367&amp;s=electronics&amp;sprefix=esp3%2Celectronics%2C111&amp;sr=1-3</t>
  </si>
  <si>
    <t>12V 20A Power Adapter</t>
  </si>
  <si>
    <t>https://alitove.com/products/alitove-12v-20a-power-adapter?srsltid=AfmBOoqz9LA7WG17mlTnVEq6TR2xPRszw2vGOrdN3HPUUcVVw02mKSRo</t>
  </si>
  <si>
    <t>Qualtek AC Power Cord</t>
  </si>
  <si>
    <t>https://www.digikey.com/en/products/detail/qualtek/311024-01/183397?gclsrc=aw.ds&amp;gad_source=1&amp;gad_campaignid=20232005509&amp;gbraid=0AAAAADrbLliTXFbJElIBrdn-4BsbH1pKR&amp;gclid=Cj0KCQiAnJHMBhDAARIsABr7b849uAa3tT3_F5ZP-l75aEIjNKWKf4qpuBldGy8NkDmHN3Cn0r5HZkMaAngTEALw_wcB</t>
  </si>
  <si>
    <t>Limit Switch</t>
  </si>
  <si>
    <t>https://www.digikey.com/en/products/detail/omron-electronics-inc-emc-div/SS-3GLPT/664728?gclsrc=aw.ds&amp;gad_source=1&amp;gad_campaignid=20243136172&amp;gbraid=0AAAAADrbLljfexaWxbS3BjpAdKSuM_Ox5&amp;gclid=Cj0KCQiAnJHMBhDAARIsABr7b87Kc2mZXbS82KljaUTyEe9L9MMl04Jl_dUlEN4DgtS6fRTNzpAJBZgaAi_1EALw_wcB</t>
  </si>
  <si>
    <t>84RPM YellowJacket Motors</t>
  </si>
  <si>
    <t>https://www.gobilda.com/5203-series-yellow-jacket-planetary-gear-motor-71-2-1-ratio-24mm-length-8mm-rex-shaft-84-rpm-3-3-5v-encoder/</t>
  </si>
  <si>
    <t>Voltage Regulator</t>
  </si>
  <si>
    <t>https://www.gobilda.com/6a-bec-voltage-regulator-5-30v-input-3-3v-5v-6v-8-4v-12v-output-screw-terminals/</t>
  </si>
  <si>
    <t>L298N Motor Driver Board</t>
  </si>
  <si>
    <t>https://www.makerfabs.com/l298n-motor-driver-board.html?srsltid=AfmBOoqR4V98QO9VURjFb2zkg8oDn2F_MaDpd0uU9qeDtwFQ_0YV04Fl</t>
  </si>
  <si>
    <t>Cytron 10A 5-30V Dual Channel DC Motor Driver</t>
  </si>
  <si>
    <t>https://www.robotshop.com/products/cytron-10a-5-30v-dual-channel-dc-motor-driver?srsltid=AfmBOorIYtiUVIiuA86VioHjtXVmnI5dblJO6pLly-AqZICCc1nw3w2K</t>
  </si>
  <si>
    <t>Rotary Power Disconnect Switch</t>
  </si>
  <si>
    <t>https://www.egrdc.org/product-p-891041.html</t>
  </si>
  <si>
    <t>Xbox Controller</t>
  </si>
  <si>
    <t>Not Yet Ordered</t>
  </si>
  <si>
    <t>https://www.ebay.com/itm/306697223911?chn=ps&amp;norover=1&amp;mkevt=1&amp;mkrid=711-117182-37290-0&amp;mkcid=2&amp;mkscid=101&amp;itemid=306697223911&amp;targetid=2450249296795&amp;device=c&amp;mktype=pla&amp;googleloc=9016261&amp;poi=&amp;campaignid=23513134754&amp;mkgroupid=193018067672&amp;rlsatarget=pla-2450249296795&amp;abcId=9407526&amp;merchantid=6296724&amp;gad_source=1&amp;gad_campaignid=23513134754&amp;gbraid=0AAAAAD_QDh8OsAEJqDSBQgCl5xBdGZgf-&amp;gclid=CjwKCAiA2PrMBhA4EiwAwpHyC19s_LfPfdyyv7x3wQ5U7jZzdfsMydK7_S2d7m6Ovw1u9958BSPqJBoCZrEQAvD_BwE</t>
  </si>
  <si>
    <t>12v to 5v DC to DC Converter</t>
  </si>
  <si>
    <t>https://www.amazon.com/Klnuoxj-Converter-Reduced-Voltage-Regulator/dp/B0CRVXCLY6?th=1</t>
  </si>
  <si>
    <t>Materials</t>
  </si>
  <si>
    <t>GoBilda 6mm Bearing Pack</t>
  </si>
  <si>
    <t>https://www.gobilda.com/1611-series-flanged-ball-bearing-6mm-id-x-14mm-od-5mm-thickness-2-pack/</t>
  </si>
  <si>
    <t>GoBilda U-rail</t>
  </si>
  <si>
    <t>https://www.gobilda.com/1120-series-u-channel-14-hole-360mm-length/</t>
  </si>
  <si>
    <t>GoBilda Pillowblock bearings</t>
  </si>
  <si>
    <t>https://www.gobilda.com/6mm-bore-1-side-2-post-pillow-block-24mm-height/</t>
  </si>
  <si>
    <t>GoBilda 6mm D shaft</t>
  </si>
  <si>
    <t>In EIH But Not Obtained</t>
  </si>
  <si>
    <t>https://www.gobilda.com/2101-series-stainless-steel-d-shaft-6mm-diameter-300mm-length/</t>
  </si>
  <si>
    <t>GoBilda 6mm Hub</t>
  </si>
  <si>
    <t>https://www.gobilda.com/1309-series-sonic-hub-6mm-d-bore/</t>
  </si>
  <si>
    <t>GoBilda Pattern Plate</t>
  </si>
  <si>
    <t>https://www.gobilda.com/1123-series-pattern-plate-3-x-17-hole-96-x-432mm/</t>
  </si>
  <si>
    <t>GoBilda Shaft Collar</t>
  </si>
  <si>
    <t>https://www.gobilda.com/2920-series-steel-set-screw-collar-6mm-bore-2-pack/</t>
  </si>
  <si>
    <t>GoBilda Angle L Bracket</t>
  </si>
  <si>
    <t>https://www.gobilda.com/1113-series-l-channel-1-hole-48mm-length/</t>
  </si>
  <si>
    <t xml:space="preserve">Bolts n shii </t>
  </si>
  <si>
    <t>Free.99</t>
  </si>
  <si>
    <t>Total Ordered:</t>
  </si>
  <si>
    <t>Total Obtained:</t>
  </si>
  <si>
    <t>Total Project Cost: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</si>
</sst>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shrinkToFit="0" wrapText="0"/>
    </xf>
    <xf borderId="0" fillId="0" fontId="2" numFmtId="164" xfId="0" applyAlignment="1" applyFont="1" applyNumberForma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2" fontId="2" numFmtId="0" xfId="0" applyAlignment="1" applyFill="1" applyFont="1">
      <alignment readingOrder="0" shrinkToFit="0" wrapText="1"/>
    </xf>
    <xf borderId="0" fillId="2" fontId="2" numFmtId="0" xfId="0" applyAlignment="1" applyFont="1">
      <alignment readingOrder="0" shrinkToFit="0" wrapText="0"/>
    </xf>
    <xf borderId="0" fillId="2" fontId="2" numFmtId="0" xfId="0" applyAlignment="1" applyFont="1">
      <alignment shrinkToFit="0" wrapText="0"/>
    </xf>
    <xf borderId="0" fillId="2" fontId="2" numFmtId="164" xfId="0" applyAlignment="1" applyFont="1" applyNumberForma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2" fontId="2" numFmtId="0" xfId="0" applyFont="1"/>
    <xf borderId="0" fillId="0" fontId="2" numFmtId="0" xfId="0" applyFont="1"/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3" fontId="6" numFmtId="0" xfId="0" applyAlignment="1" applyBorder="1" applyFill="1" applyFont="1">
      <alignment readingOrder="0"/>
    </xf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bilda.com/2920-series-steel-set-screw-collar-6mm-bore-2-pack/" TargetMode="External"/><Relationship Id="rId11" Type="http://schemas.openxmlformats.org/officeDocument/2006/relationships/hyperlink" Target="https://www.egrdc.org/product-p-891041.html" TargetMode="External"/><Relationship Id="rId22" Type="http://schemas.openxmlformats.org/officeDocument/2006/relationships/drawing" Target="../drawings/drawing1.xml"/><Relationship Id="rId10" Type="http://schemas.openxmlformats.org/officeDocument/2006/relationships/hyperlink" Target="https://www.robotshop.com/products/cytron-10a-5-30v-dual-channel-dc-motor-driver?srsltid=AfmBOorIYtiUVIiuA86VioHjtXVmnI5dblJO6pLly-AqZICCc1nw3w2K" TargetMode="External"/><Relationship Id="rId21" Type="http://schemas.openxmlformats.org/officeDocument/2006/relationships/hyperlink" Target="https://www.gobilda.com/1113-series-l-channel-1-hole-48mm-length/" TargetMode="External"/><Relationship Id="rId13" Type="http://schemas.openxmlformats.org/officeDocument/2006/relationships/hyperlink" Target="https://www.amazon.com/Klnuoxj-Converter-Reduced-Voltage-Regulator/dp/B0CRVXCLY6?th=1" TargetMode="External"/><Relationship Id="rId12" Type="http://schemas.openxmlformats.org/officeDocument/2006/relationships/hyperlink" Target="https://www.ebay.com/itm/306697223911?chn=ps&amp;norover=1&amp;mkevt=1&amp;mkrid=711-117182-37290-0&amp;mkcid=2&amp;mkscid=101&amp;itemid=306697223911&amp;targetid=2450249296795&amp;device=c&amp;mktype=pla&amp;googleloc=9016261&amp;poi=&amp;campaignid=23513134754&amp;mkgroupid=193018067672&amp;rlsatarget=pla-2450249296795&amp;abcId=9407526&amp;merchantid=6296724&amp;gad_source=1&amp;gad_campaignid=23513134754&amp;gbraid=0AAAAAD_QDh8OsAEJqDSBQgCl5xBdGZgf-&amp;gclid=CjwKCAiA2PrMBhA4EiwAwpHyC19s_LfPfdyyv7x3wQ5U7jZzdfsMydK7_S2d7m6Ovw1u9958BSPqJBoCZrEQAvD_BwE" TargetMode="External"/><Relationship Id="rId1" Type="http://schemas.openxmlformats.org/officeDocument/2006/relationships/hyperlink" Target="https://www.amazon.com/Mach-100-Motorized-Blaster-Eyewear-Velocity/dp/B083QZLSZ5?th=1" TargetMode="External"/><Relationship Id="rId2" Type="http://schemas.openxmlformats.org/officeDocument/2006/relationships/hyperlink" Target="https://store-usa.arduino.cc/products/arduino-mega-2560-rev3?utm_source=google&amp;utm_medium=cpc&amp;utm_campaign=US-Pmax-WinterSales26&amp;gad_source=1&amp;gad_campaignid=23474557341&amp;gbraid=0AAAAACbEa8598mjUy_PsTo3mClv7rarGF&amp;gclid=Cj0KCQiAnJHMBhDAARIsABr7b84lBwiSBeclPGkxgHWn6W7GzXXbmzWNoheHXn6LiK8TvBhYDlJBAoEaAo9lEALw_wcB" TargetMode="External"/><Relationship Id="rId3" Type="http://schemas.openxmlformats.org/officeDocument/2006/relationships/hyperlink" Target="https://www.amazon.com/ELEGOO-ESP-WROOM-32-Development-Bluetooth-Microcontroller/dp/B0D8T53CQ5/ref=sr_1_3?crid=2FY9ITMBDWDUV&amp;dib=eyJ2IjoiMSJ9.0mMutUw27FQh3oBplnQp1dJfzQ1YbxXJeNEXV2aWVBrTpz2z40EcBfQzpeAWyiPKJ6YpM2Kv6e90ICWWmaTZz96Cc1V2uiW_PA7NOB7apwOi37ca803ry7m1t9-DkLZQdD4e4e5atASlnZhuiQ4FGn0Q0i2RoxXFUyuCz8bmh8MUUUIX3kY6PCUeacEQOF7gBA25Y1KLeL9Jv6Fk3eeSe7k-DzQaIzcJ_WUdFQZKyeXyZbpKVVijbdyxu6ZlxiUYJKk-q9mi11KtrpJR9-OHMG-avwFmyTElipQ0CUr-rMc.OUljGQDPnTRjFvAnPvvdrF02nvo8cgcUbibXhPFHmPM&amp;dib_tag=se&amp;keywords=esp32&amp;qid=1770321367&amp;s=electronics&amp;sprefix=esp3%2Celectronics%2C111&amp;sr=1-3" TargetMode="External"/><Relationship Id="rId4" Type="http://schemas.openxmlformats.org/officeDocument/2006/relationships/hyperlink" Target="https://alitove.com/products/alitove-12v-20a-power-adapter?srsltid=AfmBOoqz9LA7WG17mlTnVEq6TR2xPRszw2vGOrdN3HPUUcVVw02mKSRo" TargetMode="External"/><Relationship Id="rId9" Type="http://schemas.openxmlformats.org/officeDocument/2006/relationships/hyperlink" Target="https://www.makerfabs.com/l298n-motor-driver-board.html?srsltid=AfmBOoqR4V98QO9VURjFb2zkg8oDn2F_MaDpd0uU9qeDtwFQ_0YV04Fl" TargetMode="External"/><Relationship Id="rId15" Type="http://schemas.openxmlformats.org/officeDocument/2006/relationships/hyperlink" Target="https://www.gobilda.com/1120-series-u-channel-14-hole-360mm-length/" TargetMode="External"/><Relationship Id="rId14" Type="http://schemas.openxmlformats.org/officeDocument/2006/relationships/hyperlink" Target="https://www.gobilda.com/1611-series-flanged-ball-bearing-6mm-id-x-14mm-od-5mm-thickness-2-pack/" TargetMode="External"/><Relationship Id="rId17" Type="http://schemas.openxmlformats.org/officeDocument/2006/relationships/hyperlink" Target="https://www.gobilda.com/2101-series-stainless-steel-d-shaft-6mm-diameter-300mm-length/" TargetMode="External"/><Relationship Id="rId16" Type="http://schemas.openxmlformats.org/officeDocument/2006/relationships/hyperlink" Target="https://www.gobilda.com/6mm-bore-1-side-2-post-pillow-block-24mm-height/" TargetMode="External"/><Relationship Id="rId5" Type="http://schemas.openxmlformats.org/officeDocument/2006/relationships/hyperlink" Target="https://www.digikey.com/en/products/detail/qualtek/311024-01/183397?gclsrc=aw.ds&amp;gad_source=1&amp;gad_campaignid=20232005509&amp;gbraid=0AAAAADrbLliTXFbJElIBrdn-4BsbH1pKR&amp;gclid=Cj0KCQiAnJHMBhDAARIsABr7b849uAa3tT3_F5ZP-l75aEIjNKWKf4qpuBldGy8NkDmHN3Cn0r5HZkMaAngTEALw_wcB" TargetMode="External"/><Relationship Id="rId19" Type="http://schemas.openxmlformats.org/officeDocument/2006/relationships/hyperlink" Target="https://www.gobilda.com/1123-series-pattern-plate-3-x-17-hole-96-x-432mm/" TargetMode="External"/><Relationship Id="rId6" Type="http://schemas.openxmlformats.org/officeDocument/2006/relationships/hyperlink" Target="https://www.digikey.com/en/products/detail/omron-electronics-inc-emc-div/SS-3GLPT/664728?gclsrc=aw.ds&amp;gad_source=1&amp;gad_campaignid=20243136172&amp;gbraid=0AAAAADrbLljfexaWxbS3BjpAdKSuM_Ox5&amp;gclid=Cj0KCQiAnJHMBhDAARIsABr7b87Kc2mZXbS82KljaUTyEe9L9MMl04Jl_dUlEN4DgtS6fRTNzpAJBZgaAi_1EALw_wcB" TargetMode="External"/><Relationship Id="rId18" Type="http://schemas.openxmlformats.org/officeDocument/2006/relationships/hyperlink" Target="https://www.gobilda.com/1309-series-sonic-hub-6mm-d-bore/" TargetMode="External"/><Relationship Id="rId7" Type="http://schemas.openxmlformats.org/officeDocument/2006/relationships/hyperlink" Target="https://www.gobilda.com/5203-series-yellow-jacket-planetary-gear-motor-71-2-1-ratio-24mm-length-8mm-rex-shaft-84-rpm-3-3-5v-encoder/" TargetMode="External"/><Relationship Id="rId8" Type="http://schemas.openxmlformats.org/officeDocument/2006/relationships/hyperlink" Target="https://www.gobilda.com/6a-bec-voltage-regulator-5-30v-input-3-3v-5v-6v-8-4v-12v-output-screw-terminal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9.38"/>
    <col customWidth="1" min="3" max="3" width="9.5"/>
    <col customWidth="1" min="4" max="4" width="17.75"/>
    <col customWidth="1" min="5" max="5" width="16.88"/>
    <col hidden="1" min="6" max="6" width="12.63"/>
    <col customWidth="1" hidden="1" min="7" max="7" width="17.38"/>
    <col customWidth="1" min="8" max="8" width="16.38"/>
    <col customWidth="1" min="9" max="9" width="18.75"/>
    <col customWidth="1" min="10" max="10" width="26.5"/>
    <col customWidth="1" min="11" max="11" width="6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1" t="s">
        <v>9</v>
      </c>
      <c r="K1" s="1" t="s">
        <v>10</v>
      </c>
    </row>
    <row r="2">
      <c r="A2" s="3" t="s">
        <v>11</v>
      </c>
      <c r="B2" s="3" t="s">
        <v>12</v>
      </c>
      <c r="C2" s="4">
        <v>1.0</v>
      </c>
      <c r="D2" s="4">
        <v>29.84</v>
      </c>
      <c r="E2" s="5">
        <f>C2*D2</f>
        <v>29.84</v>
      </c>
      <c r="F2" s="4">
        <v>0.0</v>
      </c>
      <c r="G2" s="4">
        <v>29.84</v>
      </c>
      <c r="H2" s="6">
        <v>46057.0</v>
      </c>
      <c r="I2" s="4" t="s">
        <v>13</v>
      </c>
      <c r="J2" s="7" t="s">
        <v>14</v>
      </c>
      <c r="K2" s="4" t="s">
        <v>15</v>
      </c>
    </row>
    <row r="3">
      <c r="A3" s="8"/>
      <c r="B3" s="8"/>
      <c r="C3" s="9"/>
      <c r="D3" s="9"/>
      <c r="E3" s="10"/>
      <c r="F3" s="9"/>
      <c r="G3" s="9"/>
      <c r="H3" s="11"/>
      <c r="I3" s="9"/>
      <c r="J3" s="12"/>
      <c r="K3" s="9"/>
    </row>
    <row r="4">
      <c r="A4" s="3" t="s">
        <v>16</v>
      </c>
      <c r="B4" s="3" t="s">
        <v>17</v>
      </c>
      <c r="C4" s="4">
        <v>1.0</v>
      </c>
      <c r="D4" s="4">
        <v>39.29</v>
      </c>
      <c r="E4" s="5">
        <f t="shared" ref="E4:E13" si="1">C4*D4</f>
        <v>39.29</v>
      </c>
      <c r="F4" s="4">
        <v>0.0</v>
      </c>
      <c r="G4" s="4">
        <v>39.29</v>
      </c>
      <c r="H4" s="6">
        <v>46057.0</v>
      </c>
      <c r="I4" s="4" t="s">
        <v>13</v>
      </c>
      <c r="J4" s="7" t="s">
        <v>18</v>
      </c>
      <c r="K4" s="4" t="s">
        <v>15</v>
      </c>
    </row>
    <row r="5">
      <c r="A5" s="3"/>
      <c r="B5" s="3" t="s">
        <v>19</v>
      </c>
      <c r="C5" s="13">
        <v>1.0</v>
      </c>
      <c r="D5" s="13">
        <v>5.67</v>
      </c>
      <c r="E5" s="5">
        <f t="shared" si="1"/>
        <v>5.67</v>
      </c>
      <c r="F5" s="13">
        <v>5.67</v>
      </c>
      <c r="G5" s="13">
        <v>0.0</v>
      </c>
      <c r="H5" s="14">
        <v>46057.0</v>
      </c>
      <c r="I5" s="13" t="s">
        <v>20</v>
      </c>
      <c r="J5" s="15" t="s">
        <v>21</v>
      </c>
      <c r="K5" s="13" t="s">
        <v>15</v>
      </c>
    </row>
    <row r="6">
      <c r="A6" s="3"/>
      <c r="B6" s="3" t="s">
        <v>22</v>
      </c>
      <c r="C6" s="13">
        <v>1.0</v>
      </c>
      <c r="D6" s="13">
        <v>22.99</v>
      </c>
      <c r="E6" s="5">
        <f t="shared" si="1"/>
        <v>22.99</v>
      </c>
      <c r="F6" s="13">
        <v>0.0</v>
      </c>
      <c r="G6" s="13">
        <v>22.99</v>
      </c>
      <c r="H6" s="14">
        <v>46057.0</v>
      </c>
      <c r="I6" s="13" t="s">
        <v>13</v>
      </c>
      <c r="J6" s="15" t="s">
        <v>23</v>
      </c>
      <c r="K6" s="13" t="s">
        <v>15</v>
      </c>
    </row>
    <row r="7">
      <c r="A7" s="3"/>
      <c r="B7" s="3" t="s">
        <v>24</v>
      </c>
      <c r="C7" s="13">
        <v>1.0</v>
      </c>
      <c r="D7" s="13">
        <v>9.44</v>
      </c>
      <c r="E7" s="5">
        <f t="shared" si="1"/>
        <v>9.44</v>
      </c>
      <c r="F7" s="13">
        <v>0.0</v>
      </c>
      <c r="G7" s="13">
        <v>9.44</v>
      </c>
      <c r="H7" s="14">
        <v>45692.0</v>
      </c>
      <c r="I7" s="13" t="s">
        <v>13</v>
      </c>
      <c r="J7" s="15" t="s">
        <v>25</v>
      </c>
      <c r="K7" s="13" t="s">
        <v>15</v>
      </c>
    </row>
    <row r="8">
      <c r="A8" s="3"/>
      <c r="B8" s="3" t="s">
        <v>26</v>
      </c>
      <c r="C8" s="13">
        <v>2.0</v>
      </c>
      <c r="D8" s="13">
        <v>1.0</v>
      </c>
      <c r="E8" s="5">
        <f t="shared" si="1"/>
        <v>2</v>
      </c>
      <c r="F8" s="13">
        <v>0.0</v>
      </c>
      <c r="G8" s="13">
        <v>2.0</v>
      </c>
      <c r="H8" s="14">
        <v>46057.0</v>
      </c>
      <c r="I8" s="13" t="s">
        <v>13</v>
      </c>
      <c r="J8" s="16" t="s">
        <v>27</v>
      </c>
      <c r="K8" s="13" t="s">
        <v>15</v>
      </c>
    </row>
    <row r="9">
      <c r="A9" s="3"/>
      <c r="B9" s="3" t="s">
        <v>28</v>
      </c>
      <c r="C9" s="13">
        <v>2.0</v>
      </c>
      <c r="D9" s="13">
        <v>46.74</v>
      </c>
      <c r="E9" s="5">
        <f t="shared" si="1"/>
        <v>93.48</v>
      </c>
      <c r="F9" s="13">
        <v>0.0</v>
      </c>
      <c r="G9" s="13">
        <v>93.48</v>
      </c>
      <c r="H9" s="14">
        <v>46057.0</v>
      </c>
      <c r="I9" s="13" t="s">
        <v>13</v>
      </c>
      <c r="J9" s="16" t="s">
        <v>29</v>
      </c>
      <c r="K9" s="13" t="s">
        <v>15</v>
      </c>
    </row>
    <row r="10">
      <c r="A10" s="3"/>
      <c r="B10" s="3" t="s">
        <v>30</v>
      </c>
      <c r="C10" s="13">
        <v>1.0</v>
      </c>
      <c r="D10" s="13">
        <v>23.79</v>
      </c>
      <c r="E10" s="5">
        <f t="shared" si="1"/>
        <v>23.79</v>
      </c>
      <c r="F10" s="13">
        <v>0.0</v>
      </c>
      <c r="G10" s="13">
        <v>23.79</v>
      </c>
      <c r="H10" s="14">
        <v>46057.0</v>
      </c>
      <c r="I10" s="13" t="s">
        <v>13</v>
      </c>
      <c r="J10" s="15" t="s">
        <v>31</v>
      </c>
      <c r="K10" s="13" t="s">
        <v>15</v>
      </c>
    </row>
    <row r="11">
      <c r="A11" s="3"/>
      <c r="B11" s="3" t="s">
        <v>32</v>
      </c>
      <c r="C11" s="13">
        <v>1.0</v>
      </c>
      <c r="D11" s="13">
        <v>2.3</v>
      </c>
      <c r="E11" s="5">
        <f t="shared" si="1"/>
        <v>2.3</v>
      </c>
      <c r="F11" s="13">
        <v>0.0</v>
      </c>
      <c r="G11" s="13">
        <v>2.3</v>
      </c>
      <c r="H11" s="14">
        <v>46057.0</v>
      </c>
      <c r="I11" s="13" t="s">
        <v>13</v>
      </c>
      <c r="J11" s="15" t="s">
        <v>33</v>
      </c>
      <c r="K11" s="13" t="s">
        <v>15</v>
      </c>
    </row>
    <row r="12">
      <c r="A12" s="3"/>
      <c r="B12" s="3" t="s">
        <v>34</v>
      </c>
      <c r="C12" s="13">
        <v>1.0</v>
      </c>
      <c r="D12" s="13">
        <v>26.56</v>
      </c>
      <c r="E12" s="5">
        <f t="shared" si="1"/>
        <v>26.56</v>
      </c>
      <c r="F12" s="13">
        <v>0.0</v>
      </c>
      <c r="G12" s="13">
        <v>26.56</v>
      </c>
      <c r="H12" s="14">
        <v>46057.0</v>
      </c>
      <c r="I12" s="13" t="s">
        <v>13</v>
      </c>
      <c r="J12" s="16" t="s">
        <v>35</v>
      </c>
      <c r="K12" s="13" t="s">
        <v>15</v>
      </c>
    </row>
    <row r="13">
      <c r="A13" s="13"/>
      <c r="B13" s="13" t="s">
        <v>36</v>
      </c>
      <c r="C13" s="13">
        <v>1.0</v>
      </c>
      <c r="D13" s="13">
        <v>8.99</v>
      </c>
      <c r="E13" s="5">
        <f t="shared" si="1"/>
        <v>8.99</v>
      </c>
      <c r="F13" s="13">
        <v>0.0</v>
      </c>
      <c r="G13" s="13">
        <v>8.99</v>
      </c>
      <c r="H13" s="14">
        <v>46057.0</v>
      </c>
      <c r="I13" s="13" t="s">
        <v>13</v>
      </c>
      <c r="J13" s="15" t="s">
        <v>37</v>
      </c>
      <c r="K13" s="13" t="s">
        <v>15</v>
      </c>
    </row>
    <row r="14">
      <c r="A14" s="13"/>
      <c r="B14" s="13" t="s">
        <v>38</v>
      </c>
      <c r="C14" s="13">
        <v>1.0</v>
      </c>
      <c r="D14" s="13">
        <v>25.0</v>
      </c>
      <c r="E14" s="4">
        <v>25.0</v>
      </c>
      <c r="F14" s="13">
        <v>25.0</v>
      </c>
      <c r="G14" s="13">
        <v>0.0</v>
      </c>
      <c r="H14" s="14"/>
      <c r="I14" s="13" t="s">
        <v>39</v>
      </c>
      <c r="J14" s="15" t="s">
        <v>40</v>
      </c>
      <c r="K14" s="13"/>
    </row>
    <row r="15">
      <c r="A15" s="13"/>
      <c r="B15" s="13" t="s">
        <v>41</v>
      </c>
      <c r="C15" s="13">
        <v>1.0</v>
      </c>
      <c r="D15" s="13">
        <v>6.5</v>
      </c>
      <c r="E15" s="4">
        <v>6.5</v>
      </c>
      <c r="F15" s="13">
        <v>0.0</v>
      </c>
      <c r="G15" s="13">
        <v>6.5</v>
      </c>
      <c r="H15" s="14"/>
      <c r="I15" s="13" t="s">
        <v>13</v>
      </c>
      <c r="J15" s="15" t="s">
        <v>42</v>
      </c>
      <c r="K15" s="13" t="s">
        <v>15</v>
      </c>
    </row>
    <row r="16">
      <c r="A16" s="17"/>
      <c r="B16" s="17"/>
      <c r="C16" s="17"/>
      <c r="D16" s="17"/>
      <c r="E16" s="10"/>
      <c r="F16" s="17"/>
      <c r="G16" s="17"/>
      <c r="H16" s="17"/>
      <c r="I16" s="17"/>
      <c r="J16" s="17"/>
      <c r="K16" s="17"/>
    </row>
    <row r="17">
      <c r="A17" s="13" t="s">
        <v>43</v>
      </c>
      <c r="B17" s="13" t="s">
        <v>44</v>
      </c>
      <c r="C17" s="13">
        <v>1.0</v>
      </c>
      <c r="D17" s="13">
        <v>3.99</v>
      </c>
      <c r="E17" s="5">
        <f t="shared" ref="E17:E24" si="2">C17*D17</f>
        <v>3.99</v>
      </c>
      <c r="F17" s="18">
        <f t="shared" ref="F17:F25" si="3">E17</f>
        <v>3.99</v>
      </c>
      <c r="G17" s="13">
        <v>0.0</v>
      </c>
      <c r="I17" s="13" t="s">
        <v>13</v>
      </c>
      <c r="J17" s="16" t="s">
        <v>45</v>
      </c>
    </row>
    <row r="18">
      <c r="A18" s="13"/>
      <c r="B18" s="13" t="s">
        <v>46</v>
      </c>
      <c r="C18" s="13">
        <v>2.0</v>
      </c>
      <c r="D18" s="13">
        <v>17.99</v>
      </c>
      <c r="E18" s="5">
        <f t="shared" si="2"/>
        <v>35.98</v>
      </c>
      <c r="F18" s="18">
        <f t="shared" si="3"/>
        <v>35.98</v>
      </c>
      <c r="G18" s="13">
        <v>0.0</v>
      </c>
      <c r="I18" s="13" t="s">
        <v>13</v>
      </c>
      <c r="J18" s="16" t="s">
        <v>47</v>
      </c>
    </row>
    <row r="19">
      <c r="A19" s="13"/>
      <c r="B19" s="13" t="s">
        <v>48</v>
      </c>
      <c r="C19" s="13">
        <v>2.0</v>
      </c>
      <c r="D19" s="13">
        <v>7.99</v>
      </c>
      <c r="E19" s="5">
        <f t="shared" si="2"/>
        <v>15.98</v>
      </c>
      <c r="F19" s="18">
        <f t="shared" si="3"/>
        <v>15.98</v>
      </c>
      <c r="G19" s="13">
        <v>0.0</v>
      </c>
      <c r="I19" s="13" t="s">
        <v>39</v>
      </c>
      <c r="J19" s="16" t="s">
        <v>49</v>
      </c>
    </row>
    <row r="20">
      <c r="A20" s="13"/>
      <c r="B20" s="13" t="s">
        <v>50</v>
      </c>
      <c r="C20" s="13">
        <v>1.0</v>
      </c>
      <c r="D20" s="13">
        <v>8.49</v>
      </c>
      <c r="E20" s="5">
        <f t="shared" si="2"/>
        <v>8.49</v>
      </c>
      <c r="F20" s="18">
        <f t="shared" si="3"/>
        <v>8.49</v>
      </c>
      <c r="G20" s="13">
        <v>0.0</v>
      </c>
      <c r="I20" s="13" t="s">
        <v>51</v>
      </c>
      <c r="J20" s="16" t="s">
        <v>52</v>
      </c>
    </row>
    <row r="21">
      <c r="A21" s="13"/>
      <c r="B21" s="13" t="s">
        <v>53</v>
      </c>
      <c r="C21" s="13">
        <v>2.0</v>
      </c>
      <c r="D21" s="13">
        <v>7.99</v>
      </c>
      <c r="E21" s="5">
        <f t="shared" si="2"/>
        <v>15.98</v>
      </c>
      <c r="F21" s="18">
        <f t="shared" si="3"/>
        <v>15.98</v>
      </c>
      <c r="G21" s="13">
        <v>0.0</v>
      </c>
      <c r="I21" s="13" t="s">
        <v>13</v>
      </c>
      <c r="J21" s="16" t="s">
        <v>54</v>
      </c>
    </row>
    <row r="22">
      <c r="A22" s="13"/>
      <c r="B22" s="13" t="s">
        <v>55</v>
      </c>
      <c r="C22" s="13">
        <v>1.0</v>
      </c>
      <c r="D22" s="13">
        <v>26.99</v>
      </c>
      <c r="E22" s="5">
        <f t="shared" si="2"/>
        <v>26.99</v>
      </c>
      <c r="F22" s="18">
        <f t="shared" si="3"/>
        <v>26.99</v>
      </c>
      <c r="G22" s="13">
        <v>0.0</v>
      </c>
      <c r="I22" s="13" t="s">
        <v>13</v>
      </c>
      <c r="J22" s="16" t="s">
        <v>56</v>
      </c>
    </row>
    <row r="23">
      <c r="A23" s="13"/>
      <c r="B23" s="13" t="s">
        <v>57</v>
      </c>
      <c r="C23" s="13">
        <v>2.0</v>
      </c>
      <c r="D23" s="13">
        <v>4.99</v>
      </c>
      <c r="E23" s="5">
        <f t="shared" si="2"/>
        <v>9.98</v>
      </c>
      <c r="F23" s="18">
        <f t="shared" si="3"/>
        <v>9.98</v>
      </c>
      <c r="G23" s="13">
        <v>0.0</v>
      </c>
      <c r="I23" s="13" t="s">
        <v>51</v>
      </c>
      <c r="J23" s="16" t="s">
        <v>58</v>
      </c>
    </row>
    <row r="24">
      <c r="A24" s="13"/>
      <c r="B24" s="13" t="s">
        <v>59</v>
      </c>
      <c r="C24" s="13">
        <v>4.0</v>
      </c>
      <c r="D24" s="13">
        <v>3.99</v>
      </c>
      <c r="E24" s="5">
        <f t="shared" si="2"/>
        <v>15.96</v>
      </c>
      <c r="F24" s="18">
        <f t="shared" si="3"/>
        <v>15.96</v>
      </c>
      <c r="I24" s="13" t="s">
        <v>13</v>
      </c>
      <c r="J24" s="16" t="s">
        <v>60</v>
      </c>
    </row>
    <row r="25">
      <c r="A25" s="13"/>
      <c r="B25" s="13" t="s">
        <v>61</v>
      </c>
      <c r="E25" s="4" t="s">
        <v>62</v>
      </c>
      <c r="F25" s="18" t="str">
        <f t="shared" si="3"/>
        <v>Free.99</v>
      </c>
    </row>
    <row r="26">
      <c r="A26" s="17"/>
      <c r="B26" s="17"/>
      <c r="C26" s="17"/>
      <c r="D26" s="17"/>
      <c r="E26" s="10"/>
      <c r="F26" s="17"/>
      <c r="G26" s="17"/>
      <c r="H26" s="17"/>
      <c r="I26" s="17"/>
      <c r="J26" s="17"/>
      <c r="K26" s="17"/>
    </row>
    <row r="27">
      <c r="E27" s="5"/>
      <c r="F27" s="19"/>
      <c r="G27" s="19"/>
      <c r="H27" s="19"/>
    </row>
    <row r="28">
      <c r="E28" s="5"/>
      <c r="F28" s="20" t="s">
        <v>63</v>
      </c>
      <c r="G28" s="20" t="s">
        <v>64</v>
      </c>
      <c r="H28" s="21" t="s">
        <v>65</v>
      </c>
    </row>
    <row r="29">
      <c r="E29" s="5"/>
      <c r="F29" s="22">
        <f t="shared" ref="F29:G29" si="4">SUM(F2:F25)</f>
        <v>164.02</v>
      </c>
      <c r="G29" s="22">
        <f t="shared" si="4"/>
        <v>265.18</v>
      </c>
      <c r="H29" s="22">
        <f>F29+G29</f>
        <v>429.2</v>
      </c>
    </row>
    <row r="30">
      <c r="E30" s="5"/>
    </row>
    <row r="31">
      <c r="E31" s="5"/>
    </row>
    <row r="32">
      <c r="E32" s="5"/>
    </row>
    <row r="33">
      <c r="E33" s="5"/>
    </row>
    <row r="34">
      <c r="E34" s="5"/>
    </row>
    <row r="35">
      <c r="E35" s="5"/>
    </row>
    <row r="36">
      <c r="E36" s="5"/>
    </row>
    <row r="37">
      <c r="E37" s="5"/>
    </row>
    <row r="38">
      <c r="E38" s="5"/>
    </row>
    <row r="39">
      <c r="E39" s="5"/>
    </row>
    <row r="40">
      <c r="E40" s="5"/>
    </row>
    <row r="41">
      <c r="E41" s="5"/>
    </row>
    <row r="42">
      <c r="E42" s="5"/>
    </row>
    <row r="43">
      <c r="E43" s="5"/>
    </row>
    <row r="44">
      <c r="E44" s="5"/>
    </row>
    <row r="45">
      <c r="E45" s="5"/>
    </row>
    <row r="46">
      <c r="E46" s="5"/>
    </row>
    <row r="47">
      <c r="E47" s="5"/>
    </row>
    <row r="48">
      <c r="E48" s="5"/>
    </row>
  </sheetData>
  <dataValidations>
    <dataValidation type="list" allowBlank="1" showErrorMessage="1" sqref="I2 I4:I15 I17:I24">
      <formula1>"Yes (EIH),Yes (Ordered),Yes (David's),Ordered,Not Yet Ordered,In EIH But Not Obtained"</formula1>
    </dataValidation>
  </dataValidations>
  <hyperlinks>
    <hyperlink r:id="rId1" ref="J2"/>
    <hyperlink r:id="rId2" ref="J4"/>
    <hyperlink r:id="rId3" ref="J5"/>
    <hyperlink r:id="rId4" ref="J6"/>
    <hyperlink r:id="rId5" ref="J7"/>
    <hyperlink r:id="rId6" ref="J8"/>
    <hyperlink r:id="rId7" ref="J9"/>
    <hyperlink r:id="rId8" ref="J10"/>
    <hyperlink r:id="rId9" ref="J11"/>
    <hyperlink r:id="rId10" ref="J12"/>
    <hyperlink r:id="rId11" ref="J13"/>
    <hyperlink r:id="rId12" ref="J14"/>
    <hyperlink r:id="rId13" ref="J15"/>
    <hyperlink r:id="rId14" ref="J17"/>
    <hyperlink r:id="rId15" ref="J18"/>
    <hyperlink r:id="rId16" ref="J19"/>
    <hyperlink r:id="rId17" ref="J20"/>
    <hyperlink r:id="rId18" ref="J21"/>
    <hyperlink r:id="rId19" ref="J22"/>
    <hyperlink r:id="rId20" ref="J23"/>
    <hyperlink r:id="rId21" ref="J24"/>
  </hyperlinks>
  <drawing r:id="rId22"/>
</worksheet>
</file>